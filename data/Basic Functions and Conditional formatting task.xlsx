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shin lG\Assignments\data\"/>
    </mc:Choice>
  </mc:AlternateContent>
  <xr:revisionPtr revIDLastSave="0" documentId="13_ncr:10000001_{FD767292-EC7E-4EEA-A767-429E930E4E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/>
  <c r="U5" i="1"/>
  <c r="U4" i="1"/>
  <c r="K9" i="1"/>
  <c r="K8" i="1"/>
  <c r="K7" i="1"/>
  <c r="K6" i="1"/>
  <c r="K5" i="1"/>
  <c r="J5" i="1"/>
  <c r="J9" i="1"/>
  <c r="J8" i="1"/>
  <c r="J7" i="1"/>
  <c r="J6" i="1"/>
  <c r="I6" i="1"/>
  <c r="I9" i="1"/>
  <c r="I8" i="1"/>
  <c r="I7" i="1"/>
  <c r="I5" i="1"/>
  <c r="C26" i="1"/>
  <c r="C25" i="1"/>
  <c r="C24" i="1"/>
  <c r="C23" i="1"/>
  <c r="C22" i="1"/>
  <c r="U21" i="1"/>
  <c r="T21" i="1"/>
  <c r="S21" i="1"/>
  <c r="J21" i="1"/>
  <c r="I21" i="1"/>
  <c r="C21" i="1"/>
  <c r="U20" i="1"/>
  <c r="T20" i="1"/>
  <c r="S20" i="1"/>
  <c r="O20" i="1"/>
  <c r="N20" i="1"/>
  <c r="J20" i="1"/>
  <c r="I20" i="1"/>
  <c r="C20" i="1"/>
  <c r="U19" i="1"/>
  <c r="T19" i="1"/>
  <c r="S19" i="1"/>
  <c r="O19" i="1"/>
  <c r="N19" i="1"/>
  <c r="J19" i="1"/>
  <c r="I19" i="1"/>
  <c r="C19" i="1"/>
  <c r="U18" i="1"/>
  <c r="T18" i="1"/>
  <c r="S18" i="1"/>
  <c r="O18" i="1"/>
  <c r="N18" i="1"/>
  <c r="J18" i="1"/>
  <c r="I18" i="1"/>
  <c r="C18" i="1"/>
  <c r="U17" i="1"/>
  <c r="T17" i="1"/>
  <c r="S17" i="1"/>
  <c r="O17" i="1"/>
  <c r="N17" i="1"/>
  <c r="J17" i="1"/>
  <c r="I17" i="1"/>
  <c r="C17" i="1"/>
  <c r="O16" i="1"/>
  <c r="N16" i="1"/>
  <c r="J16" i="1"/>
  <c r="I16" i="1"/>
  <c r="C16" i="1"/>
  <c r="C15" i="1"/>
  <c r="C14" i="1"/>
  <c r="C13" i="1"/>
  <c r="C12" i="1"/>
  <c r="C11" i="1"/>
  <c r="C10" i="1"/>
  <c r="C9" i="1"/>
  <c r="P8" i="1"/>
  <c r="C8" i="1"/>
  <c r="P7" i="1"/>
  <c r="C7" i="1"/>
  <c r="P6" i="1"/>
  <c r="C6" i="1"/>
  <c r="P5" i="1"/>
  <c r="C5" i="1"/>
  <c r="P4" i="1"/>
  <c r="C4" i="1"/>
  <c r="C3" i="1"/>
</calcChain>
</file>

<file path=xl/sharedStrings.xml><?xml version="1.0" encoding="utf-8"?>
<sst xmlns="http://schemas.openxmlformats.org/spreadsheetml/2006/main" count="74" uniqueCount="27">
  <si>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</si>
  <si>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</si>
  <si>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</si>
  <si>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</si>
  <si>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</si>
  <si>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</si>
  <si>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</si>
  <si>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</si>
  <si>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</si>
  <si>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</si>
  <si>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</si>
  <si>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</si>
  <si>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</si>
  <si>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</si>
  <si>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</si>
  <si>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</si>
  <si>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</si>
  <si>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</si>
  <si>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</si>
  <si>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</si>
  <si>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</si>
  <si>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</si>
  <si>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</si>
  <si>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</si>
  <si>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</si>
  <si>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year</t>
  </si>
  <si>
    <t xml:space="preserve">Yearly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</si>
</sst>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/>
      <diagonal/>
    </border>
    <border>
      <left style="medium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thin">
        <color theme="9"/>
      </right>
      <top style="thin">
        <color theme="9"/>
      </top>
      <bottom/>
      <diagonal/>
    </border>
    <border>
      <left/>
      <right style="medium">
        <color theme="9"/>
      </right>
      <top style="thin">
        <color theme="9"/>
      </top>
      <bottom/>
      <diagonal/>
    </border>
    <border>
      <left style="medium">
        <color theme="9"/>
      </left>
      <right style="thin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43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/>
    <xf numFmtId="0" fontId="0" fillId="0" borderId="21" xfId="0" applyBorder="1"/>
    <xf numFmtId="0" fontId="0" fillId="0" borderId="23" xfId="0" applyBorder="1"/>
    <xf numFmtId="0" fontId="0" fillId="0" borderId="0" xfId="0" applyBorder="1"/>
    <xf numFmtId="0" fontId="0" fillId="0" borderId="25" xfId="0" applyBorder="1"/>
    <xf numFmtId="4" fontId="0" fillId="0" borderId="22" xfId="0" applyNumberFormat="1" applyBorder="1"/>
    <xf numFmtId="4" fontId="0" fillId="0" borderId="24" xfId="0" applyNumberFormat="1" applyBorder="1"/>
    <xf numFmtId="4" fontId="0" fillId="0" borderId="26" xfId="0" applyNumberFormat="1" applyBorder="1"/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topLeftCell="J1" zoomScale="90" zoomScaleNormal="90" workbookViewId="0">
      <selection activeCell="U9" sqref="U9"/>
    </sheetView>
  </sheetViews>
  <sheetFormatPr defaultRowHeight="15" x14ac:dyDescent="0.25"/>
  <cols>
    <col min="2" max="2" width="10.85546875" bestFit="1" customWidth="1"/>
    <col min="3" max="3" width="10.5703125" bestFit="1" customWidth="1"/>
    <col min="4" max="4" width="12.85546875" bestFit="1" customWidth="1"/>
    <col min="5" max="5" width="17.5703125" bestFit="1" customWidth="1"/>
    <col min="6" max="6" width="10.42578125" bestFit="1" customWidth="1"/>
    <col min="9" max="9" width="20.140625" bestFit="1" customWidth="1"/>
    <col min="10" max="10" width="20.42578125" bestFit="1" customWidth="1"/>
    <col min="11" max="11" width="20.7109375" bestFit="1" customWidth="1"/>
    <col min="14" max="14" width="15.85546875" bestFit="1" customWidth="1"/>
    <col min="15" max="15" width="14.140625" bestFit="1" customWidth="1"/>
    <col min="16" max="16" width="11.140625" bestFit="1" customWidth="1"/>
    <col min="19" max="20" width="19.7109375" bestFit="1" customWidth="1"/>
    <col min="21" max="21" width="32.42578125" bestFit="1" customWidth="1"/>
  </cols>
  <sheetData>
    <row r="1" spans="1:21" ht="26.25" thickBot="1" x14ac:dyDescent="0.4">
      <c r="A1" s="33" t="s">
        <v>0</v>
      </c>
      <c r="B1" s="33"/>
      <c r="C1" s="33"/>
      <c r="D1" s="33"/>
      <c r="E1" s="33"/>
      <c r="F1" s="33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U2" s="37" t="s">
        <v>26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  <c r="T3" s="38" t="s">
        <v>25</v>
      </c>
      <c r="U3" s="39" t="s">
        <v>6</v>
      </c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0" t="s">
        <v>12</v>
      </c>
      <c r="O4" s="13" t="s">
        <v>13</v>
      </c>
      <c r="P4" s="14">
        <f>COUNTIF(D3:D26,D5)</f>
        <v>6</v>
      </c>
      <c r="T4" s="40">
        <v>2010</v>
      </c>
      <c r="U4" s="44">
        <f>SUM(F3:F11)</f>
        <v>104720</v>
      </c>
    </row>
    <row r="5" spans="1:21" ht="15.75" thickBot="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SUMIFS(F3:F26,D3:D26,H5,C3:C26,I4)</f>
        <v>12320</v>
      </c>
      <c r="J5" s="25">
        <f>SUMIFS(F3:F26,D3:D26,H5,C3:C26,J4)</f>
        <v>23100</v>
      </c>
      <c r="K5" s="25">
        <f>SUMIFS(F3:F26,D3:D26,H5,C3:C26,K4)</f>
        <v>25520</v>
      </c>
      <c r="N5" s="31"/>
      <c r="O5" s="13" t="s">
        <v>7</v>
      </c>
      <c r="P5" s="14">
        <f>COUNTIF(D3:D26,O5)</f>
        <v>3</v>
      </c>
      <c r="T5" s="41">
        <v>2011</v>
      </c>
      <c r="U5" s="45">
        <f>SUM(F12:F17)</f>
        <v>83600</v>
      </c>
    </row>
    <row r="6" spans="1:21" ht="15.75" thickBot="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SUMIFS(F3:F26,D3:D26,H6,C3:C26,I4)</f>
        <v>16720</v>
      </c>
      <c r="J6" s="25">
        <f>SUMIFS(F3:F26,D3:D26,H6,C3:C26,J4)</f>
        <v>6160</v>
      </c>
      <c r="K6" s="25">
        <f>SUMIFS(F3:F26,D3:D26,H6,C3:C26,K4)</f>
        <v>7920</v>
      </c>
      <c r="N6" s="31"/>
      <c r="O6" s="13" t="s">
        <v>15</v>
      </c>
      <c r="P6" s="14">
        <f>COUNTIF(D3:D26,O6)</f>
        <v>5</v>
      </c>
      <c r="T6" s="43">
        <v>2012</v>
      </c>
      <c r="U6" s="46">
        <f>SUM(F18:F26)</f>
        <v>80960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SUMIFS(F3:F26,D3:D26,H7,C3:C26,I4)</f>
        <v>26840</v>
      </c>
      <c r="J7" s="25">
        <f>SUMIFS(F3:F26,D3:D26,H7,C3:C26,J4)</f>
        <v>0</v>
      </c>
      <c r="K7" s="25">
        <f>SUMIFS(F3:F26,D3:D26,H7,C3:C26,K4)</f>
        <v>15840</v>
      </c>
      <c r="N7" s="31"/>
      <c r="O7" s="13" t="s">
        <v>18</v>
      </c>
      <c r="P7" s="14">
        <f>COUNTIF(D3:D26,O7)</f>
        <v>3</v>
      </c>
      <c r="T7" s="42"/>
      <c r="U7" s="42"/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SUMIFS(F3:F26,D3:D26,H8,C3:C26,I4)</f>
        <v>19800</v>
      </c>
      <c r="J8" s="25">
        <f>SUMIFS(F3:F26,D3:D26,H8,C3:C26,J4)</f>
        <v>20900</v>
      </c>
      <c r="K8" s="25">
        <f>SUMIFS(F3:F26,D3:D26,H8,C3:C26,K4)</f>
        <v>11440</v>
      </c>
      <c r="N8" s="32"/>
      <c r="O8" s="17" t="s">
        <v>11</v>
      </c>
      <c r="P8" s="14">
        <f>COUNTIF(D3:D26,O8)</f>
        <v>7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SUMIFS(F3:F26,D3:D26,H9,C3:C26,I4)</f>
        <v>29040</v>
      </c>
      <c r="J9" s="25">
        <f>SUMIFS(F3:F26,D3:D26,H9,C3:C26,J4)</f>
        <v>33440</v>
      </c>
      <c r="K9" s="25">
        <f>SUMIFS(F3:F26,D3:D26,H9,C3:C26,K4)</f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4" t="s">
        <v>8</v>
      </c>
      <c r="I14" s="35"/>
      <c r="J14" s="36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0" t="s">
        <v>23</v>
      </c>
      <c r="M16" s="13" t="s">
        <v>13</v>
      </c>
      <c r="N16" s="13">
        <f>SUMIF(D3:D26,"Abdul",E3:E26)</f>
        <v>277</v>
      </c>
      <c r="O16" s="13">
        <f>SUMIF(D3:D26,M16,F3:F26)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1"/>
      <c r="M17" s="13" t="s">
        <v>7</v>
      </c>
      <c r="N17" s="13">
        <f>SUMIF(D3:D26,D16,E3:E26)</f>
        <v>140</v>
      </c>
      <c r="O17" s="13">
        <f>SUMIF(D3:D26,M17,F3:F26)</f>
        <v>30800</v>
      </c>
      <c r="R17" s="24" t="s">
        <v>13</v>
      </c>
      <c r="S17" s="25">
        <f>SUMIFS(E3:E26,D3:D26,R17,C3:C26,S16)</f>
        <v>56</v>
      </c>
      <c r="T17" s="25">
        <f>SUMIFS(E3:E26,D3:D26,R17,C3:C26,T16)</f>
        <v>105</v>
      </c>
      <c r="U17" s="25">
        <f>SUMIFS(E3:E26,D3:D26,R17,C3:C26,U16)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1"/>
      <c r="M18" s="13" t="s">
        <v>15</v>
      </c>
      <c r="N18" s="13">
        <f>SUMIF(D3:D26,D9,E3:E26)</f>
        <v>194</v>
      </c>
      <c r="O18" s="13">
        <f>SUMIF(D3:D26,M18,F3:F26)</f>
        <v>42680</v>
      </c>
      <c r="R18" s="24" t="s">
        <v>7</v>
      </c>
      <c r="S18" s="25">
        <f>SUMIFS(E3:E26,D3:D26,R18,C3:C26,S16)</f>
        <v>76</v>
      </c>
      <c r="T18" s="25">
        <f>SUMIFS(E3:E26,D3:D26,R18,C3:C26,T16)</f>
        <v>28</v>
      </c>
      <c r="U18" s="25">
        <f>SUMIFS(E3:E26,D3:D26,R18,C3:C26,U16)</f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1"/>
      <c r="M19" s="13" t="s">
        <v>18</v>
      </c>
      <c r="N19" s="13">
        <f>SUMIF(D3:D26,D12,E3:E26)</f>
        <v>237</v>
      </c>
      <c r="O19" s="13">
        <f>SUMIF(D3:D26,M19,F3:F26)</f>
        <v>52140</v>
      </c>
      <c r="R19" s="24" t="s">
        <v>15</v>
      </c>
      <c r="S19" s="25">
        <f>SUMIFS(E3:E26,D3:D26,R19,C3:C26,S16)</f>
        <v>122</v>
      </c>
      <c r="T19" s="25">
        <f>SUMIFS(E3:E26,D3:D26,R19,C3:C26,T16)</f>
        <v>0</v>
      </c>
      <c r="U19" s="25">
        <f>SUMIFS(E3:E26,D3:D26,R19,C3:C26,U16)</f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2"/>
      <c r="M20" s="17" t="s">
        <v>11</v>
      </c>
      <c r="N20" s="13">
        <f>SUMIF(D3:D26,M20,E3:E26)</f>
        <v>376</v>
      </c>
      <c r="O20" s="13">
        <f>SUMIF(D3:D26,M20,F3:F26)</f>
        <v>82720</v>
      </c>
      <c r="R20" s="24" t="s">
        <v>18</v>
      </c>
      <c r="S20" s="25">
        <f>SUMIFS(E3:E26,D3:D26,R20,C3:C26,S16)</f>
        <v>90</v>
      </c>
      <c r="T20" s="25">
        <f>SUMIFS(E3:E26,D3:D26,R20,C3:C26,T16)</f>
        <v>95</v>
      </c>
      <c r="U20" s="25">
        <f>SUMIFS(E3:E26,D3:D26,R20,C3:C26,U16)</f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SUMIFS(E3:E26,D3:D26,R21,C3:C26,S16)</f>
        <v>132</v>
      </c>
      <c r="T21" s="25">
        <f>SUMIFS(E3:E26,D3:D26,R21,C3:C26,T16)</f>
        <v>152</v>
      </c>
      <c r="U21" s="25">
        <f>SUMIFS(E3:E26,D3:D26,R21,C3:C26,U16)</f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0" priority="2" operator="greaterThan">
      <formula>15000</formula>
    </cfRule>
    <cfRule type="cellIs" dxfId="1" priority="1" operator="lessThan">
      <formula>6000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mushin lG</cp:lastModifiedBy>
  <dcterms:created xsi:type="dcterms:W3CDTF">2024-05-08T21:08:42Z</dcterms:created>
  <dcterms:modified xsi:type="dcterms:W3CDTF">2026-05-03T12:39:15Z</dcterms:modified>
</cp:coreProperties>
</file>